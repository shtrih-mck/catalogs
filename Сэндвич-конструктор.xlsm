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Конструктор сэндвичей" sheetId="1" r:id="rId1"/>
  </sheets>
  <definedNames>
    <definedName name="_xlnm.Print_Area" localSheetId="0">'Конструктор сэндвичей'!$A$1:$Y$33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R6" i="1" s="1"/>
  <c r="H7" i="1"/>
  <c r="R7" i="1" s="1"/>
  <c r="H8" i="1"/>
  <c r="R8" i="1" s="1"/>
  <c r="H9" i="1"/>
  <c r="R9" i="1" s="1"/>
  <c r="H10" i="1"/>
  <c r="R10" i="1" s="1"/>
  <c r="H11" i="1"/>
  <c r="R11" i="1" s="1"/>
  <c r="H12" i="1"/>
  <c r="R12" i="1" s="1"/>
  <c r="H13" i="1"/>
  <c r="R13" i="1" s="1"/>
  <c r="H14" i="1"/>
  <c r="R14" i="1" s="1"/>
  <c r="H15" i="1"/>
  <c r="R15" i="1" s="1"/>
  <c r="H16" i="1"/>
  <c r="R16" i="1" s="1"/>
  <c r="H17" i="1"/>
  <c r="R17" i="1" s="1"/>
  <c r="H18" i="1"/>
  <c r="R18" i="1" s="1"/>
  <c r="H19" i="1"/>
  <c r="R19" i="1" s="1"/>
  <c r="H20" i="1"/>
  <c r="R20" i="1" s="1"/>
  <c r="H21" i="1"/>
  <c r="R21" i="1" s="1"/>
  <c r="H22" i="1"/>
  <c r="R22" i="1" s="1"/>
  <c r="H23" i="1"/>
  <c r="R23" i="1" s="1"/>
  <c r="H24" i="1"/>
  <c r="R24" i="1" s="1"/>
  <c r="H25" i="1"/>
  <c r="R25" i="1" s="1"/>
  <c r="H26" i="1"/>
  <c r="R26" i="1" s="1"/>
  <c r="H27" i="1"/>
  <c r="R27" i="1" s="1"/>
  <c r="H28" i="1"/>
  <c r="R28" i="1" s="1"/>
  <c r="H29" i="1"/>
  <c r="R29" i="1" s="1"/>
  <c r="H30" i="1"/>
  <c r="R30" i="1" s="1"/>
  <c r="H31" i="1"/>
  <c r="R31" i="1" s="1"/>
  <c r="H32" i="1"/>
  <c r="R32" i="1" s="1"/>
  <c r="H5" i="1"/>
  <c r="R5" i="1" s="1"/>
  <c r="V33" i="1" l="1"/>
  <c r="P1" i="1" l="1"/>
  <c r="J2" i="1"/>
  <c r="A3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5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6" i="1"/>
  <c r="G7" i="1"/>
  <c r="G8" i="1"/>
  <c r="G9" i="1"/>
  <c r="G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5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S31" i="1" l="1"/>
  <c r="S27" i="1"/>
  <c r="S23" i="1"/>
  <c r="S19" i="1"/>
  <c r="S15" i="1"/>
  <c r="S11" i="1"/>
  <c r="S30" i="1"/>
  <c r="S26" i="1"/>
  <c r="S22" i="1"/>
  <c r="S18" i="1"/>
  <c r="S14" i="1"/>
  <c r="S10" i="1"/>
  <c r="S6" i="1"/>
  <c r="S5" i="1"/>
  <c r="S29" i="1"/>
  <c r="S25" i="1"/>
  <c r="S21" i="1"/>
  <c r="S17" i="1"/>
  <c r="S13" i="1"/>
  <c r="S9" i="1"/>
  <c r="S7" i="1"/>
  <c r="S32" i="1"/>
  <c r="S28" i="1"/>
  <c r="S24" i="1"/>
  <c r="S20" i="1"/>
  <c r="S16" i="1"/>
  <c r="S12" i="1"/>
  <c r="S8" i="1"/>
  <c r="C5" i="1"/>
  <c r="F5" i="1" s="1"/>
  <c r="L5" i="1" s="1"/>
  <c r="C6" i="1"/>
  <c r="C7" i="1"/>
  <c r="C8" i="1"/>
  <c r="C9" i="1"/>
  <c r="C10" i="1"/>
  <c r="C11" i="1"/>
  <c r="C12" i="1"/>
  <c r="C13" i="1"/>
  <c r="F13" i="1" s="1"/>
  <c r="L13" i="1" s="1"/>
  <c r="C14" i="1"/>
  <c r="C15" i="1"/>
  <c r="C16" i="1"/>
  <c r="C17" i="1"/>
  <c r="F17" i="1" s="1"/>
  <c r="L17" i="1" s="1"/>
  <c r="C18" i="1"/>
  <c r="C19" i="1"/>
  <c r="C20" i="1"/>
  <c r="C21" i="1"/>
  <c r="F21" i="1" s="1"/>
  <c r="L21" i="1" s="1"/>
  <c r="C22" i="1"/>
  <c r="C23" i="1"/>
  <c r="C24" i="1"/>
  <c r="C25" i="1"/>
  <c r="C26" i="1"/>
  <c r="C27" i="1"/>
  <c r="C28" i="1"/>
  <c r="C29" i="1"/>
  <c r="F29" i="1" s="1"/>
  <c r="L29" i="1" s="1"/>
  <c r="C30" i="1"/>
  <c r="C31" i="1"/>
  <c r="C32" i="1"/>
  <c r="D32" i="1" l="1"/>
  <c r="F32" i="1"/>
  <c r="L32" i="1" s="1"/>
  <c r="D20" i="1"/>
  <c r="F20" i="1"/>
  <c r="L20" i="1" s="1"/>
  <c r="D8" i="1"/>
  <c r="F8" i="1"/>
  <c r="L8" i="1" s="1"/>
  <c r="D31" i="1"/>
  <c r="F31" i="1"/>
  <c r="L31" i="1" s="1"/>
  <c r="D23" i="1"/>
  <c r="F23" i="1"/>
  <c r="L23" i="1" s="1"/>
  <c r="D19" i="1"/>
  <c r="F19" i="1"/>
  <c r="L19" i="1" s="1"/>
  <c r="D15" i="1"/>
  <c r="F15" i="1"/>
  <c r="L15" i="1" s="1"/>
  <c r="D11" i="1"/>
  <c r="F11" i="1"/>
  <c r="L11" i="1" s="1"/>
  <c r="D7" i="1"/>
  <c r="F7" i="1"/>
  <c r="L7" i="1" s="1"/>
  <c r="D24" i="1"/>
  <c r="F24" i="1"/>
  <c r="L24" i="1" s="1"/>
  <c r="D16" i="1"/>
  <c r="F16" i="1"/>
  <c r="L16" i="1" s="1"/>
  <c r="D27" i="1"/>
  <c r="F27" i="1"/>
  <c r="L27" i="1" s="1"/>
  <c r="D30" i="1"/>
  <c r="F30" i="1"/>
  <c r="L30" i="1" s="1"/>
  <c r="D26" i="1"/>
  <c r="F26" i="1"/>
  <c r="L26" i="1" s="1"/>
  <c r="D22" i="1"/>
  <c r="F22" i="1"/>
  <c r="L22" i="1" s="1"/>
  <c r="D18" i="1"/>
  <c r="F18" i="1"/>
  <c r="L18" i="1" s="1"/>
  <c r="D14" i="1"/>
  <c r="F14" i="1"/>
  <c r="L14" i="1" s="1"/>
  <c r="D10" i="1"/>
  <c r="F10" i="1"/>
  <c r="L10" i="1" s="1"/>
  <c r="D6" i="1"/>
  <c r="F6" i="1"/>
  <c r="L6" i="1" s="1"/>
  <c r="D28" i="1"/>
  <c r="F28" i="1"/>
  <c r="L28" i="1" s="1"/>
  <c r="D12" i="1"/>
  <c r="F12" i="1"/>
  <c r="L12" i="1" s="1"/>
  <c r="D25" i="1"/>
  <c r="F25" i="1"/>
  <c r="L25" i="1" s="1"/>
  <c r="D9" i="1"/>
  <c r="F9" i="1"/>
  <c r="L9" i="1" s="1"/>
  <c r="S33" i="1"/>
  <c r="O29" i="1"/>
  <c r="D29" i="1"/>
  <c r="O21" i="1"/>
  <c r="D21" i="1"/>
  <c r="O17" i="1"/>
  <c r="D17" i="1"/>
  <c r="O13" i="1"/>
  <c r="D13" i="1"/>
  <c r="O5" i="1"/>
  <c r="D5" i="1"/>
  <c r="D33" i="1" l="1"/>
  <c r="O14" i="1"/>
  <c r="O19" i="1"/>
  <c r="O24" i="1"/>
  <c r="O18" i="1"/>
  <c r="O7" i="1"/>
  <c r="O23" i="1"/>
  <c r="O12" i="1"/>
  <c r="O28" i="1"/>
  <c r="O30" i="1"/>
  <c r="O8" i="1"/>
  <c r="O25" i="1"/>
  <c r="O22" i="1"/>
  <c r="O32" i="1"/>
  <c r="O6" i="1"/>
  <c r="O11" i="1"/>
  <c r="O27" i="1"/>
  <c r="O16" i="1"/>
  <c r="O10" i="1"/>
  <c r="O26" i="1"/>
  <c r="O15" i="1"/>
  <c r="O31" i="1"/>
  <c r="O20" i="1"/>
  <c r="O9" i="1"/>
  <c r="O33" i="1" l="1"/>
</calcChain>
</file>

<file path=xl/sharedStrings.xml><?xml version="1.0" encoding="utf-8"?>
<sst xmlns="http://schemas.openxmlformats.org/spreadsheetml/2006/main" count="44" uniqueCount="33">
  <si>
    <t>Наименование</t>
  </si>
  <si>
    <t>Кол-во, шт</t>
  </si>
  <si>
    <t>Схема 2</t>
  </si>
  <si>
    <t>Схема 1</t>
  </si>
  <si>
    <t>Площадь панели, м2</t>
  </si>
  <si>
    <t>Пенопласт 48мм</t>
  </si>
  <si>
    <t>10-1</t>
  </si>
  <si>
    <t>10-2</t>
  </si>
  <si>
    <t>низ/верх</t>
  </si>
  <si>
    <t>сталь оц. 0,5мм</t>
  </si>
  <si>
    <t>RAL7024/30</t>
  </si>
  <si>
    <t>Схема сборки</t>
  </si>
  <si>
    <t>Заполнение панели</t>
  </si>
  <si>
    <t>Длина панели  l1, мм</t>
  </si>
  <si>
    <t>Площадь, м2</t>
  </si>
  <si>
    <t>Ориентация</t>
  </si>
  <si>
    <t>Длина, мм</t>
  </si>
  <si>
    <t>Длина стали по внутренней стороне сэндвича l1, мм</t>
  </si>
  <si>
    <t>Длина стали по наружной стороне сэндвича l2, мм</t>
  </si>
  <si>
    <t>Материал</t>
  </si>
  <si>
    <t>Материал стали по внутренней стороне сэндвича</t>
  </si>
  <si>
    <t>Цвет          (покраска с одной стороны)</t>
  </si>
  <si>
    <t>сталь оц. 0,7мм</t>
  </si>
  <si>
    <t>Наименование сэндвича</t>
  </si>
  <si>
    <t>Ширина панели b, мм</t>
  </si>
  <si>
    <t>Ширина, мм</t>
  </si>
  <si>
    <t>Цвет               (покраска с одной стороны)</t>
  </si>
  <si>
    <t>Чучаны</t>
  </si>
  <si>
    <t>Имя объекта</t>
  </si>
  <si>
    <t>Номер объекта</t>
  </si>
  <si>
    <t>Номер заявки</t>
  </si>
  <si>
    <t>782</t>
  </si>
  <si>
    <t>Осевое / длина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</si>
</sst>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Border="1"/>
    <xf numFmtId="0" fontId="3" fillId="0" borderId="4" xfId="0" applyFont="1" applyFill="1" applyBorder="1" applyAlignment="1">
      <alignment horizontal="center" vertical="center" wrapText="1"/>
    </xf>
    <xf numFmtId="49" fontId="3" fillId="0" borderId="3" xfId="0" applyNumberFormat="1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49" fontId="0" fillId="0" borderId="0" xfId="0" applyNumberFormat="1"/>
    <xf numFmtId="2" fontId="3" fillId="0" borderId="6" xfId="0" applyNumberFormat="1" applyFont="1" applyFill="1" applyBorder="1" applyAlignment="1">
      <alignment horizontal="center" vertical="center" wrapText="1"/>
    </xf>
    <xf numFmtId="2" fontId="3" fillId="0" borderId="4" xfId="0" applyNumberFormat="1" applyFont="1" applyFill="1" applyBorder="1" applyAlignment="1">
      <alignment horizontal="center" vertical="center" wrapText="1"/>
    </xf>
    <xf numFmtId="49" fontId="3" fillId="0" borderId="7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2" fontId="3" fillId="0" borderId="8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 vertical="center" wrapText="1"/>
    </xf>
    <xf numFmtId="1" fontId="3" fillId="0" borderId="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Fill="1" applyBorder="1" applyAlignment="1">
      <alignment horizontal="center" vertical="center" wrapText="1"/>
    </xf>
    <xf numFmtId="1" fontId="3" fillId="0" borderId="4" xfId="0" applyNumberFormat="1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0" fillId="0" borderId="0" xfId="0" applyAlignment="1"/>
    <xf numFmtId="0" fontId="2" fillId="0" borderId="20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" fontId="5" fillId="0" borderId="0" xfId="0" applyNumberFormat="1" applyFont="1" applyBorder="1"/>
    <xf numFmtId="2" fontId="5" fillId="0" borderId="0" xfId="0" applyNumberFormat="1" applyFont="1" applyBorder="1"/>
    <xf numFmtId="0" fontId="2" fillId="0" borderId="22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49" fontId="3" fillId="0" borderId="23" xfId="0" applyNumberFormat="1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vertical="center" wrapText="1"/>
    </xf>
    <xf numFmtId="0" fontId="3" fillId="0" borderId="25" xfId="0" applyFont="1" applyFill="1" applyBorder="1" applyAlignment="1">
      <alignment horizontal="center" vertical="center" wrapText="1"/>
    </xf>
    <xf numFmtId="2" fontId="3" fillId="0" borderId="25" xfId="0" applyNumberFormat="1" applyFont="1" applyFill="1" applyBorder="1" applyAlignment="1">
      <alignment horizontal="center" vertical="center" wrapText="1"/>
    </xf>
    <xf numFmtId="2" fontId="3" fillId="0" borderId="18" xfId="0" applyNumberFormat="1" applyFont="1" applyFill="1" applyBorder="1" applyAlignment="1">
      <alignment horizontal="center" vertical="center" wrapText="1"/>
    </xf>
    <xf numFmtId="1" fontId="3" fillId="0" borderId="25" xfId="0" applyNumberFormat="1" applyFont="1" applyFill="1" applyBorder="1" applyAlignment="1">
      <alignment horizontal="center" vertical="center" wrapText="1"/>
    </xf>
    <xf numFmtId="1" fontId="3" fillId="0" borderId="18" xfId="0" applyNumberFormat="1" applyFont="1" applyFill="1" applyBorder="1" applyAlignment="1">
      <alignment horizontal="center" vertical="center" wrapText="1"/>
    </xf>
    <xf numFmtId="0" fontId="3" fillId="0" borderId="26" xfId="0" applyFont="1" applyFill="1" applyBorder="1" applyAlignment="1">
      <alignment horizontal="center" vertical="center" wrapText="1"/>
    </xf>
    <xf numFmtId="2" fontId="3" fillId="0" borderId="26" xfId="0" applyNumberFormat="1" applyFont="1" applyFill="1" applyBorder="1" applyAlignment="1">
      <alignment horizontal="center" vertical="center" wrapText="1"/>
    </xf>
    <xf numFmtId="1" fontId="3" fillId="0" borderId="26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AB80"/>
  <sheetViews>
    <sheetView tabSelected="1" view="pageBreakPreview" topLeftCell="A4" zoomScale="85" zoomScaleNormal="100" zoomScaleSheetLayoutView="85" workbookViewId="0">
      <selection activeCell="O4" sqref="O1:S1048576"/>
    </sheetView>
  </sheetViews>
  <sheetFormatPr defaultColWidth="16.7109375" defaultRowHeight="15" x14ac:dyDescent="0.25"/>
  <cols>
    <col min="1" max="1" width="15.28515625" customWidth="1"/>
    <col min="2" max="2" width="15.140625" customWidth="1"/>
    <col min="3" max="3" width="15.140625" hidden="1" customWidth="1"/>
    <col min="4" max="4" width="12.28515625" hidden="1" customWidth="1"/>
    <col min="5" max="5" width="16.7109375" customWidth="1"/>
    <col min="6" max="6" width="14.140625" hidden="1" customWidth="1"/>
    <col min="7" max="7" width="25.7109375" hidden="1" customWidth="1"/>
    <col min="8" max="8" width="13.140625" hidden="1" customWidth="1"/>
    <col min="9" max="9" width="25.7109375" hidden="1" customWidth="1"/>
    <col min="10" max="12" width="16.7109375" hidden="1" customWidth="1"/>
    <col min="13" max="14" width="16.7109375" customWidth="1"/>
    <col min="15" max="19" width="16.7109375" hidden="1" customWidth="1"/>
    <col min="20" max="21" width="16.7109375" customWidth="1"/>
    <col min="22" max="22" width="10" customWidth="1"/>
    <col min="23" max="23" width="13.140625" customWidth="1"/>
    <col min="24" max="25" width="16.7109375" customWidth="1"/>
  </cols>
  <sheetData>
    <row r="1" spans="1:28" ht="21" hidden="1" x14ac:dyDescent="0.25">
      <c r="P1" s="36" t="str">
        <f>CONCATENATE("Заявка на сталь ",Z5,".",AB5, " ", AA5,)</f>
        <v>Заявка на сталь 782.1 Чучаны</v>
      </c>
      <c r="X1" s="1"/>
    </row>
    <row r="2" spans="1:28" ht="21" hidden="1" x14ac:dyDescent="0.25">
      <c r="J2" s="36" t="str">
        <f>CONCATENATE("Заявка на сталь ",Z5,".",AB5, " ", AA5,)</f>
        <v>Заявка на сталь 782.1 Чучаны</v>
      </c>
      <c r="X2" s="1"/>
    </row>
    <row r="3" spans="1:28" ht="30" hidden="1" customHeight="1" thickBot="1" x14ac:dyDescent="0.3">
      <c r="A3" s="34" t="str">
        <f>CONCATENATE("Заявка ",Z5,".",AB5, " ", AA5," (для цеха) на изготовление сэндвич-панелей")</f>
        <v>Заявка 782.1 Чучаны (для цеха) на изготовление сэндвич-панелей</v>
      </c>
      <c r="B3" s="34"/>
      <c r="C3" s="35"/>
      <c r="D3" s="34"/>
      <c r="E3" s="34"/>
      <c r="F3" s="34"/>
      <c r="G3" s="34"/>
      <c r="H3" s="34"/>
      <c r="I3" s="34"/>
      <c r="J3" s="36"/>
      <c r="K3" s="28"/>
      <c r="L3" s="28"/>
      <c r="M3" s="28"/>
      <c r="N3" s="28"/>
      <c r="O3" s="28"/>
      <c r="P3" s="36"/>
      <c r="Q3" s="28"/>
      <c r="R3" s="28"/>
      <c r="S3" s="28"/>
      <c r="T3" s="28"/>
      <c r="U3" s="28"/>
      <c r="V3" s="28"/>
      <c r="X3" s="1"/>
    </row>
    <row r="4" spans="1:28" ht="87" customHeight="1" x14ac:dyDescent="0.25">
      <c r="A4" s="14" t="s">
        <v>23</v>
      </c>
      <c r="B4" s="15" t="s">
        <v>24</v>
      </c>
      <c r="C4" s="15" t="s">
        <v>13</v>
      </c>
      <c r="D4" s="15" t="s">
        <v>4</v>
      </c>
      <c r="E4" s="16" t="s">
        <v>12</v>
      </c>
      <c r="F4" s="16" t="s">
        <v>17</v>
      </c>
      <c r="G4" s="17" t="s">
        <v>20</v>
      </c>
      <c r="H4" s="16" t="s">
        <v>18</v>
      </c>
      <c r="I4" s="17" t="s">
        <v>20</v>
      </c>
      <c r="J4" s="18" t="s">
        <v>0</v>
      </c>
      <c r="K4" s="39" t="s">
        <v>25</v>
      </c>
      <c r="L4" s="40" t="s">
        <v>16</v>
      </c>
      <c r="M4" s="17" t="s">
        <v>26</v>
      </c>
      <c r="N4" s="17" t="s">
        <v>19</v>
      </c>
      <c r="O4" s="15" t="s">
        <v>14</v>
      </c>
      <c r="P4" s="18" t="s">
        <v>0</v>
      </c>
      <c r="Q4" s="19" t="s">
        <v>25</v>
      </c>
      <c r="R4" s="17" t="s">
        <v>16</v>
      </c>
      <c r="S4" s="15" t="s">
        <v>14</v>
      </c>
      <c r="T4" s="16" t="s">
        <v>21</v>
      </c>
      <c r="U4" s="18" t="s">
        <v>19</v>
      </c>
      <c r="V4" s="18" t="s">
        <v>1</v>
      </c>
      <c r="W4" s="18" t="s">
        <v>11</v>
      </c>
      <c r="X4" s="25" t="s">
        <v>32</v>
      </c>
      <c r="Y4" s="26" t="s">
        <v>15</v>
      </c>
      <c r="Z4" s="29" t="s">
        <v>29</v>
      </c>
      <c r="AA4" s="30" t="s">
        <v>28</v>
      </c>
      <c r="AB4" s="26" t="s">
        <v>30</v>
      </c>
    </row>
    <row r="5" spans="1:28" ht="20.100000000000001" customHeight="1" thickBot="1" x14ac:dyDescent="0.3">
      <c r="A5" s="3" t="s">
        <v>6</v>
      </c>
      <c r="B5" s="4">
        <v>163</v>
      </c>
      <c r="C5" s="5">
        <f t="shared" ref="C5:C32" si="0">X5-IF(Y5="низ/верх",24,0)</f>
        <v>2016</v>
      </c>
      <c r="D5" s="8">
        <f t="shared" ref="D5:D32" si="1">C5*B5*V5/1000000</f>
        <v>0.32860800000000001</v>
      </c>
      <c r="E5" s="9" t="s">
        <v>5</v>
      </c>
      <c r="F5" s="5">
        <f>C5</f>
        <v>2016</v>
      </c>
      <c r="G5" s="5" t="str">
        <f>CONCATENATE(M5," ",N5)</f>
        <v xml:space="preserve"> сталь оц. 0,5мм</v>
      </c>
      <c r="H5" s="23">
        <f>X5-IF(Y5="низ/верх",24,0)+IF(W5="Схема 1",42,IF(W5="Схема 2",84,IF(W5="Схема 3",0,)))</f>
        <v>2100</v>
      </c>
      <c r="I5" s="5" t="str">
        <f>CONCATENATE(T5," ",U5)</f>
        <v>RAL7024/30 сталь оц. 0,7мм</v>
      </c>
      <c r="J5" s="9" t="str">
        <f t="shared" ref="J5:J32" si="2">CONCATENATE(A5,"в")</f>
        <v>10-1в</v>
      </c>
      <c r="K5" s="24">
        <f>B5</f>
        <v>163</v>
      </c>
      <c r="L5" s="2">
        <f>F5</f>
        <v>2016</v>
      </c>
      <c r="M5" s="2"/>
      <c r="N5" s="11" t="s">
        <v>9</v>
      </c>
      <c r="O5" s="12">
        <f t="shared" ref="O5:O32" si="3">K5*L5*V5/1000000</f>
        <v>0.32860800000000001</v>
      </c>
      <c r="P5" s="12" t="str">
        <f t="shared" ref="P5:P32" si="4">CONCATENATE(A5,"н")</f>
        <v>10-1н</v>
      </c>
      <c r="Q5" s="22">
        <f>B5</f>
        <v>163</v>
      </c>
      <c r="R5" s="22">
        <f>H5</f>
        <v>2100</v>
      </c>
      <c r="S5" s="12">
        <f t="shared" ref="S5:S32" si="5">Q5*R5*V5/1000000</f>
        <v>0.34229999999999999</v>
      </c>
      <c r="T5" s="2" t="s">
        <v>10</v>
      </c>
      <c r="U5" s="11" t="s">
        <v>22</v>
      </c>
      <c r="V5" s="11">
        <v>1</v>
      </c>
      <c r="W5" s="13" t="s">
        <v>2</v>
      </c>
      <c r="X5" s="2">
        <v>2040</v>
      </c>
      <c r="Y5" s="20" t="s">
        <v>8</v>
      </c>
      <c r="Z5" s="31" t="s">
        <v>31</v>
      </c>
      <c r="AA5" s="32" t="s">
        <v>27</v>
      </c>
      <c r="AB5" s="33">
        <v>1</v>
      </c>
    </row>
    <row r="6" spans="1:28" ht="20.100000000000001" customHeight="1" x14ac:dyDescent="0.25">
      <c r="A6" s="3" t="s">
        <v>7</v>
      </c>
      <c r="B6" s="4">
        <v>163</v>
      </c>
      <c r="C6" s="5">
        <f t="shared" si="0"/>
        <v>2016</v>
      </c>
      <c r="D6" s="8">
        <f t="shared" si="1"/>
        <v>0.32860800000000001</v>
      </c>
      <c r="E6" s="9" t="s">
        <v>5</v>
      </c>
      <c r="F6" s="5">
        <f t="shared" ref="F6:F32" si="6">C6</f>
        <v>2016</v>
      </c>
      <c r="G6" s="5" t="str">
        <f t="shared" ref="G6:G32" si="7">CONCATENATE(M6," ",N6)</f>
        <v xml:space="preserve"> сталь оц. 0,5мм</v>
      </c>
      <c r="H6" s="23">
        <f t="shared" ref="H6:H32" si="8">X6-IF(Y6="низ/верх",24,0)+IF(W6="Схема 1",42,IF(W6="Схема 2",84,IF(W6="Схема 3",0,)))</f>
        <v>2058</v>
      </c>
      <c r="I6" s="5" t="str">
        <f t="shared" ref="I6:I32" si="9">CONCATENATE(T6," ",U6)</f>
        <v>RAL7024/30 сталь оц. 0,7мм</v>
      </c>
      <c r="J6" s="9" t="str">
        <f t="shared" si="2"/>
        <v>10-2в</v>
      </c>
      <c r="K6" s="24">
        <f t="shared" ref="K6:K32" si="10">B6</f>
        <v>163</v>
      </c>
      <c r="L6" s="2">
        <f t="shared" ref="L6:L32" si="11">F6</f>
        <v>2016</v>
      </c>
      <c r="M6" s="2"/>
      <c r="N6" s="11" t="s">
        <v>9</v>
      </c>
      <c r="O6" s="12">
        <f t="shared" si="3"/>
        <v>0.32860800000000001</v>
      </c>
      <c r="P6" s="12" t="str">
        <f t="shared" si="4"/>
        <v>10-2н</v>
      </c>
      <c r="Q6" s="22">
        <f t="shared" ref="Q6:Q32" si="12">B6</f>
        <v>163</v>
      </c>
      <c r="R6" s="22">
        <f t="shared" ref="R6:R32" si="13">H6</f>
        <v>2058</v>
      </c>
      <c r="S6" s="12">
        <f t="shared" si="5"/>
        <v>0.33545399999999997</v>
      </c>
      <c r="T6" s="2" t="s">
        <v>10</v>
      </c>
      <c r="U6" s="11" t="s">
        <v>22</v>
      </c>
      <c r="V6" s="11">
        <v>1</v>
      </c>
      <c r="W6" s="13" t="s">
        <v>3</v>
      </c>
      <c r="X6" s="2">
        <v>2040</v>
      </c>
      <c r="Y6" s="20" t="s">
        <v>8</v>
      </c>
      <c r="Z6" s="7"/>
    </row>
    <row r="7" spans="1:28" ht="20.100000000000001" customHeight="1" x14ac:dyDescent="0.25">
      <c r="A7" s="3"/>
      <c r="B7" s="4"/>
      <c r="C7" s="5">
        <f t="shared" si="0"/>
        <v>0</v>
      </c>
      <c r="D7" s="8">
        <f t="shared" si="1"/>
        <v>0</v>
      </c>
      <c r="E7" s="9"/>
      <c r="F7" s="5">
        <f t="shared" si="6"/>
        <v>0</v>
      </c>
      <c r="G7" s="5" t="str">
        <f t="shared" si="7"/>
        <v xml:space="preserve"> </v>
      </c>
      <c r="H7" s="23">
        <f t="shared" si="8"/>
        <v>0</v>
      </c>
      <c r="I7" s="5" t="str">
        <f t="shared" si="9"/>
        <v xml:space="preserve"> </v>
      </c>
      <c r="J7" s="9" t="str">
        <f t="shared" si="2"/>
        <v>в</v>
      </c>
      <c r="K7" s="24">
        <f t="shared" si="10"/>
        <v>0</v>
      </c>
      <c r="L7" s="2">
        <f t="shared" si="11"/>
        <v>0</v>
      </c>
      <c r="M7" s="2"/>
      <c r="N7" s="11"/>
      <c r="O7" s="12">
        <f t="shared" si="3"/>
        <v>0</v>
      </c>
      <c r="P7" s="12" t="str">
        <f t="shared" si="4"/>
        <v>н</v>
      </c>
      <c r="Q7" s="22">
        <f t="shared" si="12"/>
        <v>0</v>
      </c>
      <c r="R7" s="22">
        <f t="shared" si="13"/>
        <v>0</v>
      </c>
      <c r="S7" s="12">
        <f t="shared" si="5"/>
        <v>0</v>
      </c>
      <c r="T7" s="2"/>
      <c r="U7" s="11"/>
      <c r="V7" s="11"/>
      <c r="W7" s="13"/>
      <c r="X7" s="2"/>
      <c r="Y7" s="20"/>
      <c r="Z7" s="7"/>
    </row>
    <row r="8" spans="1:28" ht="20.100000000000001" customHeight="1" x14ac:dyDescent="0.25">
      <c r="A8" s="3"/>
      <c r="B8" s="4"/>
      <c r="C8" s="5">
        <f t="shared" si="0"/>
        <v>0</v>
      </c>
      <c r="D8" s="8">
        <f t="shared" si="1"/>
        <v>0</v>
      </c>
      <c r="E8" s="9"/>
      <c r="F8" s="5">
        <f t="shared" si="6"/>
        <v>0</v>
      </c>
      <c r="G8" s="5" t="str">
        <f t="shared" si="7"/>
        <v xml:space="preserve"> </v>
      </c>
      <c r="H8" s="23">
        <f t="shared" si="8"/>
        <v>0</v>
      </c>
      <c r="I8" s="5" t="str">
        <f t="shared" si="9"/>
        <v xml:space="preserve"> </v>
      </c>
      <c r="J8" s="9" t="str">
        <f t="shared" si="2"/>
        <v>в</v>
      </c>
      <c r="K8" s="24">
        <f t="shared" si="10"/>
        <v>0</v>
      </c>
      <c r="L8" s="2">
        <f t="shared" si="11"/>
        <v>0</v>
      </c>
      <c r="M8" s="2"/>
      <c r="N8" s="11"/>
      <c r="O8" s="12">
        <f t="shared" si="3"/>
        <v>0</v>
      </c>
      <c r="P8" s="12" t="str">
        <f t="shared" si="4"/>
        <v>н</v>
      </c>
      <c r="Q8" s="22">
        <f t="shared" si="12"/>
        <v>0</v>
      </c>
      <c r="R8" s="22">
        <f t="shared" si="13"/>
        <v>0</v>
      </c>
      <c r="S8" s="12">
        <f t="shared" si="5"/>
        <v>0</v>
      </c>
      <c r="T8" s="2"/>
      <c r="U8" s="11"/>
      <c r="V8" s="11"/>
      <c r="W8" s="13"/>
      <c r="X8" s="2"/>
      <c r="Y8" s="20"/>
      <c r="Z8" s="7"/>
    </row>
    <row r="9" spans="1:28" ht="20.100000000000001" customHeight="1" x14ac:dyDescent="0.25">
      <c r="A9" s="3"/>
      <c r="B9" s="4"/>
      <c r="C9" s="5">
        <f t="shared" si="0"/>
        <v>0</v>
      </c>
      <c r="D9" s="8">
        <f t="shared" si="1"/>
        <v>0</v>
      </c>
      <c r="E9" s="9"/>
      <c r="F9" s="5">
        <f t="shared" si="6"/>
        <v>0</v>
      </c>
      <c r="G9" s="5" t="str">
        <f t="shared" si="7"/>
        <v xml:space="preserve"> </v>
      </c>
      <c r="H9" s="23">
        <f t="shared" si="8"/>
        <v>0</v>
      </c>
      <c r="I9" s="5" t="str">
        <f t="shared" si="9"/>
        <v xml:space="preserve"> </v>
      </c>
      <c r="J9" s="9" t="str">
        <f t="shared" si="2"/>
        <v>в</v>
      </c>
      <c r="K9" s="24">
        <f t="shared" si="10"/>
        <v>0</v>
      </c>
      <c r="L9" s="2">
        <f t="shared" si="11"/>
        <v>0</v>
      </c>
      <c r="M9" s="2"/>
      <c r="N9" s="11"/>
      <c r="O9" s="12">
        <f t="shared" si="3"/>
        <v>0</v>
      </c>
      <c r="P9" s="12" t="str">
        <f t="shared" si="4"/>
        <v>н</v>
      </c>
      <c r="Q9" s="22">
        <f t="shared" si="12"/>
        <v>0</v>
      </c>
      <c r="R9" s="22">
        <f t="shared" si="13"/>
        <v>0</v>
      </c>
      <c r="S9" s="12">
        <f t="shared" si="5"/>
        <v>0</v>
      </c>
      <c r="T9" s="2"/>
      <c r="U9" s="11"/>
      <c r="V9" s="11"/>
      <c r="W9" s="13"/>
      <c r="X9" s="2"/>
      <c r="Y9" s="20"/>
      <c r="Z9" s="7"/>
    </row>
    <row r="10" spans="1:28" ht="20.100000000000001" customHeight="1" x14ac:dyDescent="0.25">
      <c r="A10" s="3"/>
      <c r="B10" s="4"/>
      <c r="C10" s="5">
        <f t="shared" si="0"/>
        <v>0</v>
      </c>
      <c r="D10" s="8">
        <f t="shared" si="1"/>
        <v>0</v>
      </c>
      <c r="E10" s="9"/>
      <c r="F10" s="5">
        <f t="shared" si="6"/>
        <v>0</v>
      </c>
      <c r="G10" s="5" t="str">
        <f t="shared" si="7"/>
        <v xml:space="preserve"> </v>
      </c>
      <c r="H10" s="23">
        <f t="shared" si="8"/>
        <v>0</v>
      </c>
      <c r="I10" s="5" t="str">
        <f t="shared" si="9"/>
        <v xml:space="preserve"> </v>
      </c>
      <c r="J10" s="9" t="str">
        <f t="shared" si="2"/>
        <v>в</v>
      </c>
      <c r="K10" s="24">
        <f t="shared" si="10"/>
        <v>0</v>
      </c>
      <c r="L10" s="2">
        <f t="shared" si="11"/>
        <v>0</v>
      </c>
      <c r="M10" s="2"/>
      <c r="N10" s="11"/>
      <c r="O10" s="12">
        <f t="shared" si="3"/>
        <v>0</v>
      </c>
      <c r="P10" s="12" t="str">
        <f t="shared" si="4"/>
        <v>н</v>
      </c>
      <c r="Q10" s="22">
        <f t="shared" si="12"/>
        <v>0</v>
      </c>
      <c r="R10" s="22">
        <f t="shared" si="13"/>
        <v>0</v>
      </c>
      <c r="S10" s="12">
        <f t="shared" si="5"/>
        <v>0</v>
      </c>
      <c r="T10" s="2"/>
      <c r="U10" s="11"/>
      <c r="V10" s="11"/>
      <c r="W10" s="13"/>
      <c r="X10" s="2"/>
      <c r="Y10" s="20"/>
      <c r="Z10" s="7"/>
    </row>
    <row r="11" spans="1:28" ht="20.100000000000001" customHeight="1" x14ac:dyDescent="0.25">
      <c r="A11" s="3"/>
      <c r="B11" s="4"/>
      <c r="C11" s="5">
        <f t="shared" si="0"/>
        <v>0</v>
      </c>
      <c r="D11" s="8">
        <f t="shared" si="1"/>
        <v>0</v>
      </c>
      <c r="E11" s="9"/>
      <c r="F11" s="5">
        <f t="shared" si="6"/>
        <v>0</v>
      </c>
      <c r="G11" s="5" t="str">
        <f t="shared" si="7"/>
        <v xml:space="preserve"> </v>
      </c>
      <c r="H11" s="23">
        <f t="shared" si="8"/>
        <v>0</v>
      </c>
      <c r="I11" s="5" t="str">
        <f t="shared" si="9"/>
        <v xml:space="preserve"> </v>
      </c>
      <c r="J11" s="9" t="str">
        <f t="shared" si="2"/>
        <v>в</v>
      </c>
      <c r="K11" s="24">
        <f t="shared" si="10"/>
        <v>0</v>
      </c>
      <c r="L11" s="2">
        <f t="shared" si="11"/>
        <v>0</v>
      </c>
      <c r="M11" s="2"/>
      <c r="N11" s="11"/>
      <c r="O11" s="12">
        <f t="shared" si="3"/>
        <v>0</v>
      </c>
      <c r="P11" s="12" t="str">
        <f t="shared" si="4"/>
        <v>н</v>
      </c>
      <c r="Q11" s="22">
        <f t="shared" si="12"/>
        <v>0</v>
      </c>
      <c r="R11" s="22">
        <f t="shared" si="13"/>
        <v>0</v>
      </c>
      <c r="S11" s="12">
        <f t="shared" si="5"/>
        <v>0</v>
      </c>
      <c r="T11" s="2"/>
      <c r="U11" s="11"/>
      <c r="V11" s="11"/>
      <c r="W11" s="13"/>
      <c r="X11" s="2"/>
      <c r="Y11" s="20"/>
      <c r="Z11" s="7"/>
    </row>
    <row r="12" spans="1:28" ht="20.100000000000001" customHeight="1" x14ac:dyDescent="0.25">
      <c r="A12" s="3"/>
      <c r="B12" s="4"/>
      <c r="C12" s="5">
        <f t="shared" si="0"/>
        <v>0</v>
      </c>
      <c r="D12" s="8">
        <f t="shared" si="1"/>
        <v>0</v>
      </c>
      <c r="E12" s="9"/>
      <c r="F12" s="5">
        <f t="shared" si="6"/>
        <v>0</v>
      </c>
      <c r="G12" s="5" t="str">
        <f t="shared" si="7"/>
        <v xml:space="preserve"> </v>
      </c>
      <c r="H12" s="23">
        <f t="shared" si="8"/>
        <v>0</v>
      </c>
      <c r="I12" s="5" t="str">
        <f t="shared" si="9"/>
        <v xml:space="preserve"> </v>
      </c>
      <c r="J12" s="9" t="str">
        <f t="shared" si="2"/>
        <v>в</v>
      </c>
      <c r="K12" s="24">
        <f t="shared" si="10"/>
        <v>0</v>
      </c>
      <c r="L12" s="2">
        <f t="shared" si="11"/>
        <v>0</v>
      </c>
      <c r="M12" s="2"/>
      <c r="N12" s="11"/>
      <c r="O12" s="12">
        <f t="shared" si="3"/>
        <v>0</v>
      </c>
      <c r="P12" s="12" t="str">
        <f t="shared" si="4"/>
        <v>н</v>
      </c>
      <c r="Q12" s="22">
        <f t="shared" si="12"/>
        <v>0</v>
      </c>
      <c r="R12" s="22">
        <f t="shared" si="13"/>
        <v>0</v>
      </c>
      <c r="S12" s="12">
        <f t="shared" si="5"/>
        <v>0</v>
      </c>
      <c r="T12" s="2"/>
      <c r="U12" s="11"/>
      <c r="V12" s="11"/>
      <c r="W12" s="13"/>
      <c r="X12" s="2"/>
      <c r="Y12" s="20"/>
      <c r="Z12" s="7"/>
    </row>
    <row r="13" spans="1:28" ht="20.100000000000001" customHeight="1" x14ac:dyDescent="0.25">
      <c r="A13" s="3"/>
      <c r="B13" s="4"/>
      <c r="C13" s="5">
        <f t="shared" si="0"/>
        <v>0</v>
      </c>
      <c r="D13" s="8">
        <f t="shared" si="1"/>
        <v>0</v>
      </c>
      <c r="E13" s="9"/>
      <c r="F13" s="5">
        <f t="shared" si="6"/>
        <v>0</v>
      </c>
      <c r="G13" s="5" t="str">
        <f t="shared" si="7"/>
        <v xml:space="preserve"> </v>
      </c>
      <c r="H13" s="23">
        <f t="shared" si="8"/>
        <v>0</v>
      </c>
      <c r="I13" s="5" t="str">
        <f t="shared" si="9"/>
        <v xml:space="preserve"> </v>
      </c>
      <c r="J13" s="9" t="str">
        <f t="shared" si="2"/>
        <v>в</v>
      </c>
      <c r="K13" s="24">
        <f t="shared" si="10"/>
        <v>0</v>
      </c>
      <c r="L13" s="2">
        <f t="shared" si="11"/>
        <v>0</v>
      </c>
      <c r="M13" s="2"/>
      <c r="N13" s="11"/>
      <c r="O13" s="12">
        <f t="shared" si="3"/>
        <v>0</v>
      </c>
      <c r="P13" s="12" t="str">
        <f t="shared" si="4"/>
        <v>н</v>
      </c>
      <c r="Q13" s="22">
        <f t="shared" si="12"/>
        <v>0</v>
      </c>
      <c r="R13" s="22">
        <f t="shared" si="13"/>
        <v>0</v>
      </c>
      <c r="S13" s="12">
        <f t="shared" si="5"/>
        <v>0</v>
      </c>
      <c r="T13" s="2"/>
      <c r="U13" s="11"/>
      <c r="V13" s="11"/>
      <c r="W13" s="13"/>
      <c r="X13" s="2"/>
      <c r="Y13" s="20"/>
      <c r="Z13" s="7"/>
    </row>
    <row r="14" spans="1:28" ht="20.100000000000001" customHeight="1" x14ac:dyDescent="0.25">
      <c r="A14" s="3"/>
      <c r="B14" s="4"/>
      <c r="C14" s="5">
        <f t="shared" si="0"/>
        <v>0</v>
      </c>
      <c r="D14" s="8">
        <f t="shared" si="1"/>
        <v>0</v>
      </c>
      <c r="E14" s="9"/>
      <c r="F14" s="5">
        <f t="shared" si="6"/>
        <v>0</v>
      </c>
      <c r="G14" s="5" t="str">
        <f t="shared" si="7"/>
        <v xml:space="preserve"> </v>
      </c>
      <c r="H14" s="23">
        <f t="shared" si="8"/>
        <v>0</v>
      </c>
      <c r="I14" s="5" t="str">
        <f t="shared" si="9"/>
        <v xml:space="preserve"> </v>
      </c>
      <c r="J14" s="9" t="str">
        <f t="shared" si="2"/>
        <v>в</v>
      </c>
      <c r="K14" s="24">
        <f t="shared" si="10"/>
        <v>0</v>
      </c>
      <c r="L14" s="2">
        <f t="shared" si="11"/>
        <v>0</v>
      </c>
      <c r="M14" s="2"/>
      <c r="N14" s="11"/>
      <c r="O14" s="12">
        <f t="shared" si="3"/>
        <v>0</v>
      </c>
      <c r="P14" s="12" t="str">
        <f t="shared" si="4"/>
        <v>н</v>
      </c>
      <c r="Q14" s="22">
        <f t="shared" si="12"/>
        <v>0</v>
      </c>
      <c r="R14" s="22">
        <f t="shared" si="13"/>
        <v>0</v>
      </c>
      <c r="S14" s="12">
        <f t="shared" si="5"/>
        <v>0</v>
      </c>
      <c r="T14" s="2"/>
      <c r="U14" s="11"/>
      <c r="V14" s="11"/>
      <c r="W14" s="13"/>
      <c r="X14" s="2"/>
      <c r="Y14" s="20"/>
      <c r="Z14" s="7"/>
    </row>
    <row r="15" spans="1:28" ht="20.100000000000001" customHeight="1" x14ac:dyDescent="0.25">
      <c r="A15" s="3"/>
      <c r="B15" s="4"/>
      <c r="C15" s="5">
        <f t="shared" si="0"/>
        <v>0</v>
      </c>
      <c r="D15" s="8">
        <f t="shared" si="1"/>
        <v>0</v>
      </c>
      <c r="E15" s="9"/>
      <c r="F15" s="5">
        <f t="shared" si="6"/>
        <v>0</v>
      </c>
      <c r="G15" s="5" t="str">
        <f t="shared" si="7"/>
        <v xml:space="preserve"> </v>
      </c>
      <c r="H15" s="23">
        <f t="shared" si="8"/>
        <v>0</v>
      </c>
      <c r="I15" s="5" t="str">
        <f t="shared" si="9"/>
        <v xml:space="preserve"> </v>
      </c>
      <c r="J15" s="9" t="str">
        <f t="shared" si="2"/>
        <v>в</v>
      </c>
      <c r="K15" s="24">
        <f t="shared" si="10"/>
        <v>0</v>
      </c>
      <c r="L15" s="2">
        <f t="shared" si="11"/>
        <v>0</v>
      </c>
      <c r="M15" s="2"/>
      <c r="N15" s="11"/>
      <c r="O15" s="12">
        <f t="shared" si="3"/>
        <v>0</v>
      </c>
      <c r="P15" s="12" t="str">
        <f t="shared" si="4"/>
        <v>н</v>
      </c>
      <c r="Q15" s="22">
        <f t="shared" si="12"/>
        <v>0</v>
      </c>
      <c r="R15" s="22">
        <f t="shared" si="13"/>
        <v>0</v>
      </c>
      <c r="S15" s="12">
        <f t="shared" si="5"/>
        <v>0</v>
      </c>
      <c r="T15" s="2"/>
      <c r="U15" s="11"/>
      <c r="V15" s="11"/>
      <c r="W15" s="13"/>
      <c r="X15" s="2"/>
      <c r="Y15" s="20"/>
      <c r="Z15" s="7"/>
    </row>
    <row r="16" spans="1:28" ht="20.100000000000001" customHeight="1" x14ac:dyDescent="0.25">
      <c r="A16" s="3"/>
      <c r="B16" s="4"/>
      <c r="C16" s="5">
        <f t="shared" si="0"/>
        <v>0</v>
      </c>
      <c r="D16" s="8">
        <f t="shared" si="1"/>
        <v>0</v>
      </c>
      <c r="E16" s="9"/>
      <c r="F16" s="5">
        <f t="shared" si="6"/>
        <v>0</v>
      </c>
      <c r="G16" s="5" t="str">
        <f t="shared" si="7"/>
        <v xml:space="preserve"> </v>
      </c>
      <c r="H16" s="23">
        <f t="shared" si="8"/>
        <v>0</v>
      </c>
      <c r="I16" s="5" t="str">
        <f t="shared" si="9"/>
        <v xml:space="preserve"> </v>
      </c>
      <c r="J16" s="9" t="str">
        <f t="shared" si="2"/>
        <v>в</v>
      </c>
      <c r="K16" s="24">
        <f t="shared" si="10"/>
        <v>0</v>
      </c>
      <c r="L16" s="2">
        <f t="shared" si="11"/>
        <v>0</v>
      </c>
      <c r="M16" s="2"/>
      <c r="N16" s="11"/>
      <c r="O16" s="12">
        <f t="shared" si="3"/>
        <v>0</v>
      </c>
      <c r="P16" s="12" t="str">
        <f t="shared" si="4"/>
        <v>н</v>
      </c>
      <c r="Q16" s="22">
        <f t="shared" si="12"/>
        <v>0</v>
      </c>
      <c r="R16" s="22">
        <f t="shared" si="13"/>
        <v>0</v>
      </c>
      <c r="S16" s="12">
        <f t="shared" si="5"/>
        <v>0</v>
      </c>
      <c r="T16" s="2"/>
      <c r="U16" s="11"/>
      <c r="V16" s="11"/>
      <c r="W16" s="13"/>
      <c r="X16" s="2"/>
      <c r="Y16" s="20"/>
      <c r="Z16" s="7"/>
    </row>
    <row r="17" spans="1:26" ht="20.100000000000001" customHeight="1" x14ac:dyDescent="0.25">
      <c r="A17" s="3"/>
      <c r="B17" s="4"/>
      <c r="C17" s="5">
        <f t="shared" si="0"/>
        <v>0</v>
      </c>
      <c r="D17" s="8">
        <f t="shared" si="1"/>
        <v>0</v>
      </c>
      <c r="E17" s="9"/>
      <c r="F17" s="5">
        <f t="shared" si="6"/>
        <v>0</v>
      </c>
      <c r="G17" s="5" t="str">
        <f t="shared" si="7"/>
        <v xml:space="preserve"> </v>
      </c>
      <c r="H17" s="23">
        <f t="shared" si="8"/>
        <v>0</v>
      </c>
      <c r="I17" s="5" t="str">
        <f t="shared" si="9"/>
        <v xml:space="preserve"> </v>
      </c>
      <c r="J17" s="9" t="str">
        <f t="shared" si="2"/>
        <v>в</v>
      </c>
      <c r="K17" s="24">
        <f t="shared" si="10"/>
        <v>0</v>
      </c>
      <c r="L17" s="2">
        <f t="shared" si="11"/>
        <v>0</v>
      </c>
      <c r="M17" s="2"/>
      <c r="N17" s="11"/>
      <c r="O17" s="12">
        <f t="shared" si="3"/>
        <v>0</v>
      </c>
      <c r="P17" s="12" t="str">
        <f t="shared" si="4"/>
        <v>н</v>
      </c>
      <c r="Q17" s="22">
        <f t="shared" si="12"/>
        <v>0</v>
      </c>
      <c r="R17" s="22">
        <f t="shared" si="13"/>
        <v>0</v>
      </c>
      <c r="S17" s="12">
        <f t="shared" si="5"/>
        <v>0</v>
      </c>
      <c r="T17" s="2"/>
      <c r="U17" s="11"/>
      <c r="V17" s="11"/>
      <c r="W17" s="13"/>
      <c r="X17" s="2"/>
      <c r="Y17" s="20"/>
      <c r="Z17" s="7"/>
    </row>
    <row r="18" spans="1:26" ht="20.100000000000001" customHeight="1" x14ac:dyDescent="0.25">
      <c r="A18" s="3"/>
      <c r="B18" s="4"/>
      <c r="C18" s="5">
        <f t="shared" si="0"/>
        <v>0</v>
      </c>
      <c r="D18" s="8">
        <f t="shared" si="1"/>
        <v>0</v>
      </c>
      <c r="E18" s="9"/>
      <c r="F18" s="5">
        <f t="shared" si="6"/>
        <v>0</v>
      </c>
      <c r="G18" s="5" t="str">
        <f t="shared" si="7"/>
        <v xml:space="preserve"> </v>
      </c>
      <c r="H18" s="23">
        <f t="shared" si="8"/>
        <v>0</v>
      </c>
      <c r="I18" s="5" t="str">
        <f t="shared" si="9"/>
        <v xml:space="preserve"> </v>
      </c>
      <c r="J18" s="9" t="str">
        <f t="shared" si="2"/>
        <v>в</v>
      </c>
      <c r="K18" s="24">
        <f t="shared" si="10"/>
        <v>0</v>
      </c>
      <c r="L18" s="2">
        <f t="shared" si="11"/>
        <v>0</v>
      </c>
      <c r="M18" s="2"/>
      <c r="N18" s="11"/>
      <c r="O18" s="12">
        <f t="shared" si="3"/>
        <v>0</v>
      </c>
      <c r="P18" s="12" t="str">
        <f t="shared" si="4"/>
        <v>н</v>
      </c>
      <c r="Q18" s="22">
        <f t="shared" si="12"/>
        <v>0</v>
      </c>
      <c r="R18" s="22">
        <f t="shared" si="13"/>
        <v>0</v>
      </c>
      <c r="S18" s="12">
        <f t="shared" si="5"/>
        <v>0</v>
      </c>
      <c r="T18" s="2"/>
      <c r="U18" s="11"/>
      <c r="V18" s="11"/>
      <c r="W18" s="13"/>
      <c r="X18" s="2"/>
      <c r="Y18" s="20"/>
      <c r="Z18" s="7"/>
    </row>
    <row r="19" spans="1:26" ht="20.100000000000001" customHeight="1" x14ac:dyDescent="0.25">
      <c r="A19" s="3"/>
      <c r="B19" s="4"/>
      <c r="C19" s="5">
        <f t="shared" si="0"/>
        <v>0</v>
      </c>
      <c r="D19" s="8">
        <f t="shared" si="1"/>
        <v>0</v>
      </c>
      <c r="E19" s="9"/>
      <c r="F19" s="5">
        <f t="shared" si="6"/>
        <v>0</v>
      </c>
      <c r="G19" s="5" t="str">
        <f t="shared" si="7"/>
        <v xml:space="preserve"> </v>
      </c>
      <c r="H19" s="23">
        <f t="shared" si="8"/>
        <v>0</v>
      </c>
      <c r="I19" s="5" t="str">
        <f t="shared" si="9"/>
        <v xml:space="preserve"> </v>
      </c>
      <c r="J19" s="9" t="str">
        <f t="shared" si="2"/>
        <v>в</v>
      </c>
      <c r="K19" s="24">
        <f t="shared" si="10"/>
        <v>0</v>
      </c>
      <c r="L19" s="2">
        <f t="shared" si="11"/>
        <v>0</v>
      </c>
      <c r="M19" s="2"/>
      <c r="N19" s="11"/>
      <c r="O19" s="12">
        <f t="shared" si="3"/>
        <v>0</v>
      </c>
      <c r="P19" s="12" t="str">
        <f t="shared" si="4"/>
        <v>н</v>
      </c>
      <c r="Q19" s="22">
        <f t="shared" si="12"/>
        <v>0</v>
      </c>
      <c r="R19" s="22">
        <f t="shared" si="13"/>
        <v>0</v>
      </c>
      <c r="S19" s="12">
        <f t="shared" si="5"/>
        <v>0</v>
      </c>
      <c r="T19" s="2"/>
      <c r="U19" s="11"/>
      <c r="V19" s="11"/>
      <c r="W19" s="13"/>
      <c r="X19" s="2"/>
      <c r="Y19" s="20"/>
      <c r="Z19" s="7"/>
    </row>
    <row r="20" spans="1:26" ht="20.100000000000001" customHeight="1" x14ac:dyDescent="0.25">
      <c r="A20" s="3"/>
      <c r="B20" s="4"/>
      <c r="C20" s="5">
        <f t="shared" si="0"/>
        <v>0</v>
      </c>
      <c r="D20" s="8">
        <f t="shared" si="1"/>
        <v>0</v>
      </c>
      <c r="E20" s="9"/>
      <c r="F20" s="5">
        <f t="shared" si="6"/>
        <v>0</v>
      </c>
      <c r="G20" s="5" t="str">
        <f t="shared" si="7"/>
        <v xml:space="preserve"> </v>
      </c>
      <c r="H20" s="23">
        <f t="shared" si="8"/>
        <v>0</v>
      </c>
      <c r="I20" s="5" t="str">
        <f t="shared" si="9"/>
        <v xml:space="preserve"> </v>
      </c>
      <c r="J20" s="9" t="str">
        <f t="shared" si="2"/>
        <v>в</v>
      </c>
      <c r="K20" s="24">
        <f t="shared" si="10"/>
        <v>0</v>
      </c>
      <c r="L20" s="2">
        <f t="shared" si="11"/>
        <v>0</v>
      </c>
      <c r="M20" s="2"/>
      <c r="N20" s="11"/>
      <c r="O20" s="12">
        <f t="shared" si="3"/>
        <v>0</v>
      </c>
      <c r="P20" s="12" t="str">
        <f t="shared" si="4"/>
        <v>н</v>
      </c>
      <c r="Q20" s="22">
        <f t="shared" si="12"/>
        <v>0</v>
      </c>
      <c r="R20" s="22">
        <f t="shared" si="13"/>
        <v>0</v>
      </c>
      <c r="S20" s="12">
        <f t="shared" si="5"/>
        <v>0</v>
      </c>
      <c r="T20" s="2"/>
      <c r="U20" s="11"/>
      <c r="V20" s="11"/>
      <c r="W20" s="13"/>
      <c r="X20" s="2"/>
      <c r="Y20" s="20"/>
      <c r="Z20" s="7"/>
    </row>
    <row r="21" spans="1:26" ht="20.100000000000001" customHeight="1" x14ac:dyDescent="0.25">
      <c r="A21" s="3"/>
      <c r="B21" s="4"/>
      <c r="C21" s="5">
        <f t="shared" si="0"/>
        <v>0</v>
      </c>
      <c r="D21" s="8">
        <f t="shared" si="1"/>
        <v>0</v>
      </c>
      <c r="E21" s="9"/>
      <c r="F21" s="5">
        <f t="shared" si="6"/>
        <v>0</v>
      </c>
      <c r="G21" s="5" t="str">
        <f t="shared" si="7"/>
        <v xml:space="preserve"> </v>
      </c>
      <c r="H21" s="23">
        <f t="shared" si="8"/>
        <v>0</v>
      </c>
      <c r="I21" s="5" t="str">
        <f t="shared" si="9"/>
        <v xml:space="preserve"> </v>
      </c>
      <c r="J21" s="9" t="str">
        <f t="shared" si="2"/>
        <v>в</v>
      </c>
      <c r="K21" s="24">
        <f t="shared" si="10"/>
        <v>0</v>
      </c>
      <c r="L21" s="2">
        <f t="shared" si="11"/>
        <v>0</v>
      </c>
      <c r="M21" s="2"/>
      <c r="N21" s="11"/>
      <c r="O21" s="12">
        <f t="shared" si="3"/>
        <v>0</v>
      </c>
      <c r="P21" s="12" t="str">
        <f t="shared" si="4"/>
        <v>н</v>
      </c>
      <c r="Q21" s="22">
        <f t="shared" si="12"/>
        <v>0</v>
      </c>
      <c r="R21" s="22">
        <f t="shared" si="13"/>
        <v>0</v>
      </c>
      <c r="S21" s="12">
        <f t="shared" si="5"/>
        <v>0</v>
      </c>
      <c r="T21" s="2"/>
      <c r="U21" s="11"/>
      <c r="V21" s="11"/>
      <c r="W21" s="13"/>
      <c r="X21" s="2"/>
      <c r="Y21" s="20"/>
      <c r="Z21" s="7"/>
    </row>
    <row r="22" spans="1:26" ht="20.100000000000001" customHeight="1" x14ac:dyDescent="0.25">
      <c r="A22" s="3"/>
      <c r="B22" s="4"/>
      <c r="C22" s="5">
        <f t="shared" si="0"/>
        <v>0</v>
      </c>
      <c r="D22" s="8">
        <f t="shared" si="1"/>
        <v>0</v>
      </c>
      <c r="E22" s="9"/>
      <c r="F22" s="5">
        <f t="shared" si="6"/>
        <v>0</v>
      </c>
      <c r="G22" s="5" t="str">
        <f t="shared" si="7"/>
        <v xml:space="preserve"> </v>
      </c>
      <c r="H22" s="23">
        <f t="shared" si="8"/>
        <v>0</v>
      </c>
      <c r="I22" s="5" t="str">
        <f t="shared" si="9"/>
        <v xml:space="preserve"> </v>
      </c>
      <c r="J22" s="9" t="str">
        <f t="shared" si="2"/>
        <v>в</v>
      </c>
      <c r="K22" s="24">
        <f t="shared" si="10"/>
        <v>0</v>
      </c>
      <c r="L22" s="2">
        <f t="shared" si="11"/>
        <v>0</v>
      </c>
      <c r="M22" s="2"/>
      <c r="N22" s="11"/>
      <c r="O22" s="12">
        <f t="shared" si="3"/>
        <v>0</v>
      </c>
      <c r="P22" s="12" t="str">
        <f t="shared" si="4"/>
        <v>н</v>
      </c>
      <c r="Q22" s="22">
        <f t="shared" si="12"/>
        <v>0</v>
      </c>
      <c r="R22" s="22">
        <f t="shared" si="13"/>
        <v>0</v>
      </c>
      <c r="S22" s="12">
        <f t="shared" si="5"/>
        <v>0</v>
      </c>
      <c r="T22" s="2"/>
      <c r="U22" s="11"/>
      <c r="V22" s="11"/>
      <c r="W22" s="13"/>
      <c r="X22" s="2"/>
      <c r="Y22" s="20"/>
      <c r="Z22" s="7"/>
    </row>
    <row r="23" spans="1:26" ht="20.100000000000001" customHeight="1" x14ac:dyDescent="0.25">
      <c r="A23" s="3"/>
      <c r="B23" s="4"/>
      <c r="C23" s="5">
        <f t="shared" si="0"/>
        <v>0</v>
      </c>
      <c r="D23" s="8">
        <f t="shared" si="1"/>
        <v>0</v>
      </c>
      <c r="E23" s="9"/>
      <c r="F23" s="5">
        <f t="shared" si="6"/>
        <v>0</v>
      </c>
      <c r="G23" s="5" t="str">
        <f t="shared" si="7"/>
        <v xml:space="preserve"> </v>
      </c>
      <c r="H23" s="23">
        <f t="shared" si="8"/>
        <v>0</v>
      </c>
      <c r="I23" s="5" t="str">
        <f t="shared" si="9"/>
        <v xml:space="preserve"> </v>
      </c>
      <c r="J23" s="9" t="str">
        <f t="shared" si="2"/>
        <v>в</v>
      </c>
      <c r="K23" s="24">
        <f t="shared" si="10"/>
        <v>0</v>
      </c>
      <c r="L23" s="2">
        <f t="shared" si="11"/>
        <v>0</v>
      </c>
      <c r="M23" s="2"/>
      <c r="N23" s="11"/>
      <c r="O23" s="12">
        <f t="shared" si="3"/>
        <v>0</v>
      </c>
      <c r="P23" s="12" t="str">
        <f t="shared" si="4"/>
        <v>н</v>
      </c>
      <c r="Q23" s="22">
        <f t="shared" si="12"/>
        <v>0</v>
      </c>
      <c r="R23" s="22">
        <f t="shared" si="13"/>
        <v>0</v>
      </c>
      <c r="S23" s="12">
        <f t="shared" si="5"/>
        <v>0</v>
      </c>
      <c r="T23" s="2"/>
      <c r="U23" s="11"/>
      <c r="V23" s="11"/>
      <c r="W23" s="13"/>
      <c r="X23" s="2"/>
      <c r="Y23" s="20"/>
      <c r="Z23" s="7"/>
    </row>
    <row r="24" spans="1:26" ht="20.100000000000001" customHeight="1" x14ac:dyDescent="0.25">
      <c r="A24" s="3"/>
      <c r="B24" s="4"/>
      <c r="C24" s="5">
        <f t="shared" si="0"/>
        <v>0</v>
      </c>
      <c r="D24" s="8">
        <f t="shared" si="1"/>
        <v>0</v>
      </c>
      <c r="E24" s="9"/>
      <c r="F24" s="5">
        <f t="shared" si="6"/>
        <v>0</v>
      </c>
      <c r="G24" s="5" t="str">
        <f t="shared" si="7"/>
        <v xml:space="preserve"> </v>
      </c>
      <c r="H24" s="23">
        <f t="shared" si="8"/>
        <v>0</v>
      </c>
      <c r="I24" s="5" t="str">
        <f t="shared" si="9"/>
        <v xml:space="preserve"> </v>
      </c>
      <c r="J24" s="9" t="str">
        <f t="shared" si="2"/>
        <v>в</v>
      </c>
      <c r="K24" s="24">
        <f t="shared" si="10"/>
        <v>0</v>
      </c>
      <c r="L24" s="2">
        <f t="shared" si="11"/>
        <v>0</v>
      </c>
      <c r="M24" s="2"/>
      <c r="N24" s="11"/>
      <c r="O24" s="12">
        <f t="shared" si="3"/>
        <v>0</v>
      </c>
      <c r="P24" s="12" t="str">
        <f t="shared" si="4"/>
        <v>н</v>
      </c>
      <c r="Q24" s="22">
        <f t="shared" si="12"/>
        <v>0</v>
      </c>
      <c r="R24" s="22">
        <f t="shared" si="13"/>
        <v>0</v>
      </c>
      <c r="S24" s="12">
        <f t="shared" si="5"/>
        <v>0</v>
      </c>
      <c r="T24" s="2"/>
      <c r="U24" s="11"/>
      <c r="V24" s="11"/>
      <c r="W24" s="13"/>
      <c r="X24" s="2"/>
      <c r="Y24" s="20"/>
      <c r="Z24" s="7"/>
    </row>
    <row r="25" spans="1:26" ht="20.100000000000001" customHeight="1" x14ac:dyDescent="0.25">
      <c r="A25" s="3"/>
      <c r="B25" s="4"/>
      <c r="C25" s="5">
        <f t="shared" si="0"/>
        <v>0</v>
      </c>
      <c r="D25" s="8">
        <f t="shared" si="1"/>
        <v>0</v>
      </c>
      <c r="E25" s="9"/>
      <c r="F25" s="5">
        <f t="shared" si="6"/>
        <v>0</v>
      </c>
      <c r="G25" s="5" t="str">
        <f t="shared" si="7"/>
        <v xml:space="preserve"> </v>
      </c>
      <c r="H25" s="23">
        <f t="shared" si="8"/>
        <v>0</v>
      </c>
      <c r="I25" s="5" t="str">
        <f t="shared" si="9"/>
        <v xml:space="preserve"> </v>
      </c>
      <c r="J25" s="9" t="str">
        <f t="shared" si="2"/>
        <v>в</v>
      </c>
      <c r="K25" s="24">
        <f t="shared" si="10"/>
        <v>0</v>
      </c>
      <c r="L25" s="2">
        <f t="shared" si="11"/>
        <v>0</v>
      </c>
      <c r="M25" s="2"/>
      <c r="N25" s="11"/>
      <c r="O25" s="12">
        <f t="shared" si="3"/>
        <v>0</v>
      </c>
      <c r="P25" s="12" t="str">
        <f t="shared" si="4"/>
        <v>н</v>
      </c>
      <c r="Q25" s="22">
        <f t="shared" si="12"/>
        <v>0</v>
      </c>
      <c r="R25" s="22">
        <f t="shared" si="13"/>
        <v>0</v>
      </c>
      <c r="S25" s="12">
        <f t="shared" si="5"/>
        <v>0</v>
      </c>
      <c r="T25" s="2"/>
      <c r="U25" s="11"/>
      <c r="V25" s="11"/>
      <c r="W25" s="13"/>
      <c r="X25" s="2"/>
      <c r="Y25" s="20"/>
      <c r="Z25" s="7"/>
    </row>
    <row r="26" spans="1:26" ht="20.100000000000001" customHeight="1" x14ac:dyDescent="0.25">
      <c r="A26" s="3"/>
      <c r="B26" s="4"/>
      <c r="C26" s="5">
        <f t="shared" si="0"/>
        <v>0</v>
      </c>
      <c r="D26" s="8">
        <f t="shared" si="1"/>
        <v>0</v>
      </c>
      <c r="E26" s="9"/>
      <c r="F26" s="5">
        <f t="shared" si="6"/>
        <v>0</v>
      </c>
      <c r="G26" s="5" t="str">
        <f t="shared" si="7"/>
        <v xml:space="preserve"> </v>
      </c>
      <c r="H26" s="23">
        <f t="shared" si="8"/>
        <v>0</v>
      </c>
      <c r="I26" s="5" t="str">
        <f t="shared" si="9"/>
        <v xml:space="preserve"> </v>
      </c>
      <c r="J26" s="9" t="str">
        <f t="shared" si="2"/>
        <v>в</v>
      </c>
      <c r="K26" s="24">
        <f t="shared" si="10"/>
        <v>0</v>
      </c>
      <c r="L26" s="2">
        <f t="shared" si="11"/>
        <v>0</v>
      </c>
      <c r="M26" s="2"/>
      <c r="N26" s="11"/>
      <c r="O26" s="12">
        <f t="shared" si="3"/>
        <v>0</v>
      </c>
      <c r="P26" s="12" t="str">
        <f t="shared" si="4"/>
        <v>н</v>
      </c>
      <c r="Q26" s="22">
        <f t="shared" si="12"/>
        <v>0</v>
      </c>
      <c r="R26" s="22">
        <f t="shared" si="13"/>
        <v>0</v>
      </c>
      <c r="S26" s="12">
        <f t="shared" si="5"/>
        <v>0</v>
      </c>
      <c r="T26" s="2"/>
      <c r="U26" s="11"/>
      <c r="V26" s="11"/>
      <c r="W26" s="13"/>
      <c r="X26" s="2"/>
      <c r="Y26" s="20"/>
      <c r="Z26" s="7"/>
    </row>
    <row r="27" spans="1:26" ht="20.100000000000001" customHeight="1" x14ac:dyDescent="0.25">
      <c r="A27" s="3"/>
      <c r="B27" s="4"/>
      <c r="C27" s="5">
        <f t="shared" si="0"/>
        <v>0</v>
      </c>
      <c r="D27" s="8">
        <f t="shared" si="1"/>
        <v>0</v>
      </c>
      <c r="E27" s="9"/>
      <c r="F27" s="5">
        <f t="shared" si="6"/>
        <v>0</v>
      </c>
      <c r="G27" s="5" t="str">
        <f t="shared" si="7"/>
        <v xml:space="preserve"> </v>
      </c>
      <c r="H27" s="23">
        <f t="shared" si="8"/>
        <v>0</v>
      </c>
      <c r="I27" s="5" t="str">
        <f t="shared" si="9"/>
        <v xml:space="preserve"> </v>
      </c>
      <c r="J27" s="9" t="str">
        <f t="shared" si="2"/>
        <v>в</v>
      </c>
      <c r="K27" s="24">
        <f t="shared" si="10"/>
        <v>0</v>
      </c>
      <c r="L27" s="2">
        <f t="shared" si="11"/>
        <v>0</v>
      </c>
      <c r="M27" s="2"/>
      <c r="N27" s="11"/>
      <c r="O27" s="12">
        <f t="shared" si="3"/>
        <v>0</v>
      </c>
      <c r="P27" s="12" t="str">
        <f t="shared" si="4"/>
        <v>н</v>
      </c>
      <c r="Q27" s="22">
        <f t="shared" si="12"/>
        <v>0</v>
      </c>
      <c r="R27" s="22">
        <f t="shared" si="13"/>
        <v>0</v>
      </c>
      <c r="S27" s="12">
        <f t="shared" si="5"/>
        <v>0</v>
      </c>
      <c r="T27" s="2"/>
      <c r="U27" s="11"/>
      <c r="V27" s="11"/>
      <c r="W27" s="13"/>
      <c r="X27" s="2"/>
      <c r="Y27" s="20"/>
      <c r="Z27" s="7"/>
    </row>
    <row r="28" spans="1:26" ht="20.100000000000001" customHeight="1" x14ac:dyDescent="0.25">
      <c r="A28" s="3"/>
      <c r="B28" s="4"/>
      <c r="C28" s="5">
        <f t="shared" si="0"/>
        <v>0</v>
      </c>
      <c r="D28" s="8">
        <f t="shared" si="1"/>
        <v>0</v>
      </c>
      <c r="E28" s="9"/>
      <c r="F28" s="5">
        <f t="shared" si="6"/>
        <v>0</v>
      </c>
      <c r="G28" s="5" t="str">
        <f t="shared" si="7"/>
        <v xml:space="preserve"> </v>
      </c>
      <c r="H28" s="23">
        <f t="shared" si="8"/>
        <v>0</v>
      </c>
      <c r="I28" s="5" t="str">
        <f t="shared" si="9"/>
        <v xml:space="preserve"> </v>
      </c>
      <c r="J28" s="9" t="str">
        <f t="shared" si="2"/>
        <v>в</v>
      </c>
      <c r="K28" s="24">
        <f t="shared" si="10"/>
        <v>0</v>
      </c>
      <c r="L28" s="2">
        <f t="shared" si="11"/>
        <v>0</v>
      </c>
      <c r="M28" s="2"/>
      <c r="N28" s="11"/>
      <c r="O28" s="12">
        <f t="shared" si="3"/>
        <v>0</v>
      </c>
      <c r="P28" s="12" t="str">
        <f t="shared" si="4"/>
        <v>н</v>
      </c>
      <c r="Q28" s="22">
        <f t="shared" si="12"/>
        <v>0</v>
      </c>
      <c r="R28" s="22">
        <f t="shared" si="13"/>
        <v>0</v>
      </c>
      <c r="S28" s="12">
        <f t="shared" si="5"/>
        <v>0</v>
      </c>
      <c r="T28" s="2"/>
      <c r="U28" s="11"/>
      <c r="V28" s="11"/>
      <c r="W28" s="13"/>
      <c r="X28" s="2"/>
      <c r="Y28" s="20"/>
      <c r="Z28" s="7"/>
    </row>
    <row r="29" spans="1:26" ht="20.100000000000001" customHeight="1" x14ac:dyDescent="0.25">
      <c r="A29" s="10"/>
      <c r="B29" s="6"/>
      <c r="C29" s="5">
        <f t="shared" si="0"/>
        <v>0</v>
      </c>
      <c r="D29" s="8">
        <f t="shared" si="1"/>
        <v>0</v>
      </c>
      <c r="E29" s="9"/>
      <c r="F29" s="5">
        <f t="shared" si="6"/>
        <v>0</v>
      </c>
      <c r="G29" s="5" t="str">
        <f t="shared" si="7"/>
        <v xml:space="preserve"> </v>
      </c>
      <c r="H29" s="23">
        <f t="shared" si="8"/>
        <v>0</v>
      </c>
      <c r="I29" s="5" t="str">
        <f t="shared" si="9"/>
        <v xml:space="preserve"> </v>
      </c>
      <c r="J29" s="9" t="str">
        <f t="shared" si="2"/>
        <v>в</v>
      </c>
      <c r="K29" s="24">
        <f t="shared" si="10"/>
        <v>0</v>
      </c>
      <c r="L29" s="2">
        <f t="shared" si="11"/>
        <v>0</v>
      </c>
      <c r="M29" s="2"/>
      <c r="N29" s="11"/>
      <c r="O29" s="12">
        <f t="shared" si="3"/>
        <v>0</v>
      </c>
      <c r="P29" s="12" t="str">
        <f t="shared" si="4"/>
        <v>н</v>
      </c>
      <c r="Q29" s="22">
        <f t="shared" si="12"/>
        <v>0</v>
      </c>
      <c r="R29" s="22">
        <f t="shared" si="13"/>
        <v>0</v>
      </c>
      <c r="S29" s="12">
        <f t="shared" si="5"/>
        <v>0</v>
      </c>
      <c r="T29" s="2"/>
      <c r="U29" s="11"/>
      <c r="V29" s="11"/>
      <c r="W29" s="13"/>
      <c r="X29" s="2"/>
      <c r="Y29" s="20"/>
    </row>
    <row r="30" spans="1:26" ht="20.100000000000001" customHeight="1" x14ac:dyDescent="0.25">
      <c r="A30" s="21"/>
      <c r="B30" s="2"/>
      <c r="C30" s="5">
        <f t="shared" si="0"/>
        <v>0</v>
      </c>
      <c r="D30" s="8">
        <f t="shared" si="1"/>
        <v>0</v>
      </c>
      <c r="E30" s="9"/>
      <c r="F30" s="5">
        <f t="shared" si="6"/>
        <v>0</v>
      </c>
      <c r="G30" s="5" t="str">
        <f t="shared" si="7"/>
        <v xml:space="preserve"> </v>
      </c>
      <c r="H30" s="23">
        <f t="shared" si="8"/>
        <v>0</v>
      </c>
      <c r="I30" s="5" t="str">
        <f t="shared" si="9"/>
        <v xml:space="preserve"> </v>
      </c>
      <c r="J30" s="9" t="str">
        <f t="shared" si="2"/>
        <v>в</v>
      </c>
      <c r="K30" s="24">
        <f t="shared" si="10"/>
        <v>0</v>
      </c>
      <c r="L30" s="2">
        <f t="shared" si="11"/>
        <v>0</v>
      </c>
      <c r="M30" s="2"/>
      <c r="N30" s="11"/>
      <c r="O30" s="12">
        <f t="shared" si="3"/>
        <v>0</v>
      </c>
      <c r="P30" s="12" t="str">
        <f t="shared" si="4"/>
        <v>н</v>
      </c>
      <c r="Q30" s="22">
        <f t="shared" si="12"/>
        <v>0</v>
      </c>
      <c r="R30" s="22">
        <f t="shared" si="13"/>
        <v>0</v>
      </c>
      <c r="S30" s="12">
        <f t="shared" si="5"/>
        <v>0</v>
      </c>
      <c r="T30" s="2"/>
      <c r="U30" s="11"/>
      <c r="V30" s="11"/>
      <c r="W30" s="13"/>
      <c r="X30" s="2"/>
      <c r="Y30" s="20"/>
    </row>
    <row r="31" spans="1:26" ht="20.100000000000001" customHeight="1" x14ac:dyDescent="0.25">
      <c r="A31" s="21"/>
      <c r="B31" s="2"/>
      <c r="C31" s="5">
        <f t="shared" si="0"/>
        <v>0</v>
      </c>
      <c r="D31" s="8">
        <f t="shared" si="1"/>
        <v>0</v>
      </c>
      <c r="E31" s="9"/>
      <c r="F31" s="5">
        <f t="shared" si="6"/>
        <v>0</v>
      </c>
      <c r="G31" s="5" t="str">
        <f t="shared" si="7"/>
        <v xml:space="preserve"> </v>
      </c>
      <c r="H31" s="23">
        <f t="shared" si="8"/>
        <v>0</v>
      </c>
      <c r="I31" s="5" t="str">
        <f t="shared" si="9"/>
        <v xml:space="preserve"> </v>
      </c>
      <c r="J31" s="9" t="str">
        <f t="shared" si="2"/>
        <v>в</v>
      </c>
      <c r="K31" s="24">
        <f t="shared" si="10"/>
        <v>0</v>
      </c>
      <c r="L31" s="2">
        <f t="shared" si="11"/>
        <v>0</v>
      </c>
      <c r="M31" s="2"/>
      <c r="N31" s="11"/>
      <c r="O31" s="12">
        <f t="shared" si="3"/>
        <v>0</v>
      </c>
      <c r="P31" s="12" t="str">
        <f t="shared" si="4"/>
        <v>н</v>
      </c>
      <c r="Q31" s="22">
        <f t="shared" si="12"/>
        <v>0</v>
      </c>
      <c r="R31" s="22">
        <f t="shared" si="13"/>
        <v>0</v>
      </c>
      <c r="S31" s="12">
        <f t="shared" si="5"/>
        <v>0</v>
      </c>
      <c r="T31" s="2"/>
      <c r="U31" s="11"/>
      <c r="V31" s="11"/>
      <c r="W31" s="13"/>
      <c r="X31" s="2"/>
      <c r="Y31" s="20"/>
    </row>
    <row r="32" spans="1:26" ht="20.100000000000001" customHeight="1" thickBot="1" x14ac:dyDescent="0.3">
      <c r="A32" s="41"/>
      <c r="B32" s="42"/>
      <c r="C32" s="43">
        <f t="shared" si="0"/>
        <v>0</v>
      </c>
      <c r="D32" s="44">
        <f t="shared" si="1"/>
        <v>0</v>
      </c>
      <c r="E32" s="45"/>
      <c r="F32" s="43">
        <f t="shared" si="6"/>
        <v>0</v>
      </c>
      <c r="G32" s="43" t="str">
        <f t="shared" si="7"/>
        <v xml:space="preserve"> </v>
      </c>
      <c r="H32" s="46">
        <f t="shared" si="8"/>
        <v>0</v>
      </c>
      <c r="I32" s="43" t="str">
        <f t="shared" si="9"/>
        <v xml:space="preserve"> </v>
      </c>
      <c r="J32" s="45" t="str">
        <f t="shared" si="2"/>
        <v>в</v>
      </c>
      <c r="K32" s="47">
        <f t="shared" si="10"/>
        <v>0</v>
      </c>
      <c r="L32" s="27">
        <f t="shared" si="11"/>
        <v>0</v>
      </c>
      <c r="M32" s="27"/>
      <c r="N32" s="48"/>
      <c r="O32" s="49">
        <f t="shared" si="3"/>
        <v>0</v>
      </c>
      <c r="P32" s="49" t="str">
        <f t="shared" si="4"/>
        <v>н</v>
      </c>
      <c r="Q32" s="50">
        <f t="shared" si="12"/>
        <v>0</v>
      </c>
      <c r="R32" s="50">
        <f t="shared" si="13"/>
        <v>0</v>
      </c>
      <c r="S32" s="49">
        <f t="shared" si="5"/>
        <v>0</v>
      </c>
      <c r="T32" s="27"/>
      <c r="U32" s="48"/>
      <c r="V32" s="48"/>
      <c r="W32" s="32"/>
      <c r="X32" s="27"/>
      <c r="Y32" s="33"/>
    </row>
    <row r="33" spans="1:24" ht="18.75" x14ac:dyDescent="0.3">
      <c r="A33" s="1"/>
      <c r="B33" s="1"/>
      <c r="C33" s="1"/>
      <c r="D33" s="38">
        <f>SUM(D5:D32)</f>
        <v>0.65721600000000002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38">
        <f>SUM(O5:O32)</f>
        <v>0.65721600000000002</v>
      </c>
      <c r="P33" s="1"/>
      <c r="Q33" s="1"/>
      <c r="R33" s="1"/>
      <c r="S33" s="38">
        <f>SUM(S5:S32)</f>
        <v>0.67775399999999997</v>
      </c>
      <c r="T33" s="1"/>
      <c r="U33" s="1"/>
      <c r="V33" s="37">
        <f>SUM(V5:V32)</f>
        <v>2</v>
      </c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</sheetData>
  <pageMargins left="0.25" right="0.25" top="0.75" bottom="0.75" header="0.3" footer="0.3"/>
  <pageSetup paperSize="9" scale="58" fitToHeight="0" orientation="portrait" r:id="rId1"/>
  <colBreaks count="1" manualBreakCount="1">
    <brk id="22" max="33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Конструктор сэндвичей</vt:lpstr>
      <vt:lpstr>'Конструктор сэндвичей'!Область_печати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2023-02-10T09:20:22Z</dcterms:modified>
</cp:coreProperties>
</file>